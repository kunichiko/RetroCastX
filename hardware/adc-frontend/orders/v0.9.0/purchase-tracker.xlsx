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調達管理" sheetId="1" state="visible" r:id="rId1"/>
    <sheet xmlns:r="http://schemas.openxmlformats.org/officeDocument/2006/relationships" name="発注先まとめ" sheetId="2" state="visible" r:id="rId2"/>
    <sheet xmlns:r="http://schemas.openxmlformats.org/officeDocument/2006/relationships" name="注意事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color rgb="00808080"/>
      <sz val="9"/>
    </font>
    <font>
      <b val="1"/>
      <color rgb="00FFFFFF"/>
    </font>
    <font>
      <color rgb="00C00000"/>
    </font>
    <font>
      <b val="1"/>
    </font>
    <font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3" fontId="0" fillId="0" borderId="1" applyAlignment="1" pivotButton="0" quotePrefix="0" xfId="0">
      <alignment vertical="top"/>
    </xf>
    <xf numFmtId="0" fontId="0" fillId="4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5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6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34" customWidth="1" min="3" max="3"/>
    <col width="12" customWidth="1" min="4" max="4"/>
    <col width="30" customWidth="1" min="5" max="5"/>
    <col width="20" customWidth="1" min="6" max="6"/>
    <col width="8" customWidth="1" min="7" max="7"/>
    <col width="12" customWidth="1" min="8" max="8"/>
    <col width="11" customWidth="1" min="9" max="9"/>
    <col width="18" customWidth="1" min="10" max="10"/>
    <col width="40" customWidth="1" min="11" max="11"/>
  </cols>
  <sheetData>
    <row r="1">
      <c r="A1" s="1" t="inlineStr">
        <is>
          <t>RetroCast X 調達管理 (v0.9.0 / 2枚分)</t>
        </is>
      </c>
      <c r="B1" s="2" t="inlineStr">
        <is>
          <t>tools/gen_order_xlsx.py が生成。状態・注文番号・備考は再生成しても引き継がれます</t>
        </is>
      </c>
    </row>
    <row r="2">
      <c r="A2" s="3" t="inlineStr">
        <is>
          <t>状態</t>
        </is>
      </c>
      <c r="B2" s="3" t="inlineStr">
        <is>
          <t>デジグネータ</t>
        </is>
      </c>
      <c r="C2" s="3" t="inlineStr">
        <is>
          <t>品名/内容</t>
        </is>
      </c>
      <c r="D2" s="3" t="inlineStr">
        <is>
          <t>発注先</t>
        </is>
      </c>
      <c r="E2" s="3" t="inlineStr">
        <is>
          <t>品番</t>
        </is>
      </c>
      <c r="F2" s="3" t="inlineStr">
        <is>
          <t>メーカー</t>
        </is>
      </c>
      <c r="G2" s="3" t="inlineStr">
        <is>
          <t>発注数</t>
        </is>
      </c>
      <c r="H2" s="3" t="inlineStr">
        <is>
          <t>単価</t>
        </is>
      </c>
      <c r="I2" s="3" t="inlineStr">
        <is>
          <t>小計(円)</t>
        </is>
      </c>
      <c r="J2" s="3" t="inlineStr">
        <is>
          <t>注文番号/日付</t>
        </is>
      </c>
      <c r="K2" s="3" t="inlineStr">
        <is>
          <t>備考</t>
        </is>
      </c>
    </row>
    <row r="3" ht="30" customHeight="1">
      <c r="A3" s="4" t="inlineStr">
        <is>
          <t>発注済み</t>
        </is>
      </c>
      <c r="B3" s="5" t="inlineStr">
        <is>
          <t>U1</t>
        </is>
      </c>
      <c r="C3" s="6" t="inlineStr">
        <is>
          <t>ビデオデジタイザ HTQFP-100</t>
        </is>
      </c>
      <c r="D3" s="7" t="inlineStr">
        <is>
          <t>DigiKey</t>
        </is>
      </c>
      <c r="E3" s="5" t="inlineStr">
        <is>
          <t>TVP7002PZP</t>
        </is>
      </c>
      <c r="F3" s="5" t="inlineStr">
        <is>
          <t>TI</t>
        </is>
      </c>
      <c r="G3" s="4" t="n">
        <v>2</v>
      </c>
      <c r="H3" s="5" t="inlineStr">
        <is>
          <t>$12.0400</t>
        </is>
      </c>
      <c r="I3" s="8" t="n">
        <v>4094</v>
      </c>
      <c r="J3" s="5" t="inlineStr"/>
      <c r="K3" s="6" t="inlineStr"/>
    </row>
    <row r="4" ht="30" customHeight="1">
      <c r="A4" s="4" t="inlineStr">
        <is>
          <t>未発注</t>
        </is>
      </c>
      <c r="B4" s="5" t="inlineStr">
        <is>
          <t>U9</t>
        </is>
      </c>
      <c r="C4" s="6" t="inlineStr">
        <is>
          <t>DDR3 SO-DIMM 204pin ソケット</t>
        </is>
      </c>
      <c r="D4" s="9" t="inlineStr">
        <is>
          <t>AliExpress</t>
        </is>
      </c>
      <c r="E4" s="5" t="inlineStr">
        <is>
          <t>1473005-4</t>
        </is>
      </c>
      <c r="F4" s="5" t="inlineStr">
        <is>
          <t>TE Connectivity</t>
        </is>
      </c>
      <c r="G4" s="4" t="n">
        <v>2</v>
      </c>
      <c r="H4" s="5" t="inlineStr">
        <is>
          <t>$9.5900</t>
        </is>
      </c>
      <c r="I4" s="8" t="n">
        <v>3261</v>
      </c>
      <c r="J4" s="5" t="inlineStr"/>
      <c r="K4" s="6" t="inlineStr">
        <is>
          <t>LCSCでも1つ注文してみた</t>
        </is>
      </c>
    </row>
    <row r="5" ht="30" customHeight="1">
      <c r="A5" s="4" t="inlineStr">
        <is>
          <t>発注済み</t>
        </is>
      </c>
      <c r="B5" s="5" t="inlineStr">
        <is>
          <t>U13, U14</t>
        </is>
      </c>
      <c r="C5" s="6" t="inlineStr">
        <is>
          <t>ステレオ ADC TSSOP-14</t>
        </is>
      </c>
      <c r="D5" s="7" t="inlineStr">
        <is>
          <t>DigiKey</t>
        </is>
      </c>
      <c r="E5" s="5" t="inlineStr">
        <is>
          <t>PCM1808PWR</t>
        </is>
      </c>
      <c r="F5" s="5" t="inlineStr">
        <is>
          <t>TI</t>
        </is>
      </c>
      <c r="G5" s="4" t="n">
        <v>5</v>
      </c>
      <c r="H5" s="5" t="inlineStr">
        <is>
          <t>$1.5900</t>
        </is>
      </c>
      <c r="I5" s="8" t="n">
        <v>1352</v>
      </c>
      <c r="J5" s="5" t="inlineStr"/>
      <c r="K5" s="6" t="inlineStr"/>
    </row>
    <row r="6" ht="30" customHeight="1">
      <c r="A6" s="4" t="inlineStr">
        <is>
          <t>発注済み</t>
        </is>
      </c>
      <c r="B6" s="5" t="inlineStr">
        <is>
          <t>D1, D2, D3, D4, D5, D6, D8</t>
        </is>
      </c>
      <c r="C6" s="6" t="inlineStr">
        <is>
          <t>ROHM 4ch コモンアノード ESD アレイ EMD5(SC-75A)</t>
        </is>
      </c>
      <c r="D6" s="7" t="inlineStr">
        <is>
          <t>DigiKey</t>
        </is>
      </c>
      <c r="E6" s="5" t="inlineStr">
        <is>
          <t>EMZT6.8ET2R</t>
        </is>
      </c>
      <c r="F6" s="5" t="inlineStr">
        <is>
          <t>ROHM</t>
        </is>
      </c>
      <c r="G6" s="4" t="n">
        <v>16</v>
      </c>
      <c r="H6" s="5" t="inlineStr">
        <is>
          <t>$0.1983</t>
        </is>
      </c>
      <c r="I6" s="8" t="n">
        <v>539</v>
      </c>
      <c r="J6" s="5" t="inlineStr"/>
      <c r="K6" s="6" t="inlineStr"/>
    </row>
    <row r="7" ht="30" customHeight="1">
      <c r="A7" s="4" t="inlineStr">
        <is>
          <t>発注済み</t>
        </is>
      </c>
      <c r="B7" s="5" t="inlineStr">
        <is>
          <t>C6, C8, C11, C12, C13, C14, C15, C16, C17, C18, C19, C20, C21, C22, C23, C24, C25, C27, C29, C31, C33, C35, C37, C39, C41, C43, C44, C46, C47, C49, C51, C55, C56, C57, C58, C59, C64, C65, C66, C72, C73, C74, C77, C78, C79, C80, C81</t>
        </is>
      </c>
      <c r="C7" s="6" t="inlineStr">
        <is>
          <t>100nF 0402 X7R 16V MLCC</t>
        </is>
      </c>
      <c r="D7" s="7" t="inlineStr">
        <is>
          <t>DigiKey</t>
        </is>
      </c>
      <c r="E7" s="5" t="inlineStr">
        <is>
          <t>CL05B104KO5NNNC</t>
        </is>
      </c>
      <c r="F7" s="5" t="inlineStr">
        <is>
          <t>SAMSUNG</t>
        </is>
      </c>
      <c r="G7" s="4" t="n">
        <v>113</v>
      </c>
      <c r="H7" s="5" t="inlineStr">
        <is>
          <t>$0.0066</t>
        </is>
      </c>
      <c r="I7" s="8" t="n">
        <v>127</v>
      </c>
      <c r="J7" s="5" t="inlineStr"/>
      <c r="K7" s="6" t="inlineStr"/>
    </row>
    <row r="8" ht="30" customHeight="1">
      <c r="A8" s="4" t="inlineStr">
        <is>
          <t>発注済み</t>
        </is>
      </c>
      <c r="B8" s="5" t="inlineStr">
        <is>
          <t>R5, R7, R9, R10, R12, R14, R16, R20, R21, R24, R26, R27, R38, R43, R44, R45, R46</t>
        </is>
      </c>
      <c r="C8" s="6" t="inlineStr">
        <is>
          <t>220R 0402 1% 1/16W</t>
        </is>
      </c>
      <c r="D8" s="7" t="inlineStr">
        <is>
          <t>DigiKey</t>
        </is>
      </c>
      <c r="E8" s="5" t="inlineStr">
        <is>
          <t>RC0402FR-07220RL</t>
        </is>
      </c>
      <c r="F8" s="5" t="inlineStr">
        <is>
          <t>YAGEO</t>
        </is>
      </c>
      <c r="G8" s="4" t="n">
        <v>44</v>
      </c>
      <c r="H8" s="5" t="inlineStr">
        <is>
          <t>$0.0061</t>
        </is>
      </c>
      <c r="I8" s="8" t="n">
        <v>46</v>
      </c>
      <c r="J8" s="5" t="inlineStr"/>
      <c r="K8" s="6" t="inlineStr"/>
    </row>
    <row r="9" ht="30" customHeight="1">
      <c r="A9" s="4" t="inlineStr">
        <is>
          <t>発注済み</t>
        </is>
      </c>
      <c r="B9" s="5" t="inlineStr">
        <is>
          <t>C26, C28, C30, C34, C36, C38, C48, C50</t>
        </is>
      </c>
      <c r="C9" s="6" t="inlineStr">
        <is>
          <t>33pF 0402 C0G 50V MLCC</t>
        </is>
      </c>
      <c r="D9" s="7" t="inlineStr">
        <is>
          <t>DigiKey</t>
        </is>
      </c>
      <c r="E9" s="5" t="inlineStr">
        <is>
          <t>CL05C330JB5NNNC</t>
        </is>
      </c>
      <c r="F9" s="5" t="inlineStr">
        <is>
          <t>SAMSUNG</t>
        </is>
      </c>
      <c r="G9" s="4" t="n">
        <v>26</v>
      </c>
      <c r="H9" s="10" t="inlineStr">
        <is>
          <t>未確認</t>
        </is>
      </c>
      <c r="I9" s="5" t="n"/>
      <c r="J9" s="5" t="inlineStr"/>
      <c r="K9" s="6" t="inlineStr"/>
    </row>
    <row r="10" ht="30" customHeight="1">
      <c r="A10" s="4" t="inlineStr">
        <is>
          <t>発注済み</t>
        </is>
      </c>
      <c r="B10" s="5" t="inlineStr">
        <is>
          <t>C42</t>
        </is>
      </c>
      <c r="C10" s="6" t="inlineStr">
        <is>
          <t>1nF 0402 X7R 50V MLCC</t>
        </is>
      </c>
      <c r="D10" s="7" t="inlineStr">
        <is>
          <t>DigiKey</t>
        </is>
      </c>
      <c r="E10" s="5" t="inlineStr">
        <is>
          <t>CL05B102KB5NNNC</t>
        </is>
      </c>
      <c r="F10" s="5" t="inlineStr">
        <is>
          <t>Samsung Electro-Mechanics</t>
        </is>
      </c>
      <c r="G10" s="4" t="n">
        <v>12</v>
      </c>
      <c r="H10" s="10" t="inlineStr">
        <is>
          <t>未確認</t>
        </is>
      </c>
      <c r="I10" s="5" t="n"/>
      <c r="J10" s="5" t="inlineStr"/>
      <c r="K10" s="6" t="inlineStr"/>
    </row>
    <row r="11" ht="30" customHeight="1">
      <c r="A11" s="4" t="inlineStr">
        <is>
          <t>発注済み</t>
        </is>
      </c>
      <c r="B11" s="5" t="inlineStr">
        <is>
          <t>C45</t>
        </is>
      </c>
      <c r="C11" s="6" t="inlineStr">
        <is>
          <t>4.7nF 0402 X7R 50V MLCC</t>
        </is>
      </c>
      <c r="D11" s="7" t="inlineStr">
        <is>
          <t>DigiKey</t>
        </is>
      </c>
      <c r="E11" s="5" t="inlineStr">
        <is>
          <t>CL05B472KB5NNNC</t>
        </is>
      </c>
      <c r="F11" s="5" t="inlineStr">
        <is>
          <t>Samsung Electro-Mechanics</t>
        </is>
      </c>
      <c r="G11" s="4" t="n">
        <v>12</v>
      </c>
      <c r="H11" s="10" t="inlineStr">
        <is>
          <t>未確認</t>
        </is>
      </c>
      <c r="I11" s="5" t="n"/>
      <c r="J11" s="5" t="inlineStr"/>
      <c r="K11" s="6" t="inlineStr"/>
    </row>
    <row r="12" ht="30" customHeight="1">
      <c r="A12" s="4" t="inlineStr">
        <is>
          <t>発注済み</t>
        </is>
      </c>
      <c r="B12" s="5" t="inlineStr">
        <is>
          <t>C53, C54</t>
        </is>
      </c>
      <c r="C12" s="6" t="inlineStr">
        <is>
          <t>10nF 0402 X7R 50V MLCC</t>
        </is>
      </c>
      <c r="D12" s="7" t="inlineStr">
        <is>
          <t>DigiKey</t>
        </is>
      </c>
      <c r="E12" s="5" t="inlineStr">
        <is>
          <t>CL05B103KB5NNNC</t>
        </is>
      </c>
      <c r="F12" s="5" t="inlineStr">
        <is>
          <t>SAMSUNG</t>
        </is>
      </c>
      <c r="G12" s="4" t="n">
        <v>14</v>
      </c>
      <c r="H12" s="10" t="inlineStr">
        <is>
          <t>未確認</t>
        </is>
      </c>
      <c r="I12" s="5" t="n"/>
      <c r="J12" s="5" t="inlineStr"/>
      <c r="K12" s="6" t="inlineStr"/>
    </row>
    <row r="13" ht="30" customHeight="1">
      <c r="A13" s="4" t="inlineStr">
        <is>
          <t>発注済み</t>
        </is>
      </c>
      <c r="B13" s="5" t="inlineStr">
        <is>
          <t>C61, C62, C69, C70</t>
        </is>
      </c>
      <c r="C13" s="6" t="inlineStr">
        <is>
          <t>1uF 0603 X5R MLCC</t>
        </is>
      </c>
      <c r="D13" s="7" t="inlineStr">
        <is>
          <t>DigiKey</t>
        </is>
      </c>
      <c r="E13" s="5" t="inlineStr">
        <is>
          <t>CL10A105KB8NNNC</t>
        </is>
      </c>
      <c r="F13" s="5" t="inlineStr">
        <is>
          <t>SAMSUNG</t>
        </is>
      </c>
      <c r="G13" s="4" t="n">
        <v>18</v>
      </c>
      <c r="H13" s="10" t="inlineStr">
        <is>
          <t>未確認</t>
        </is>
      </c>
      <c r="I13" s="5" t="n"/>
      <c r="J13" s="5" t="inlineStr"/>
      <c r="K13" s="6" t="inlineStr"/>
    </row>
    <row r="14" ht="30" customHeight="1">
      <c r="A14" s="4" t="inlineStr">
        <is>
          <t>発注済み</t>
        </is>
      </c>
      <c r="B14" s="5" t="inlineStr">
        <is>
          <t>C9, C10</t>
        </is>
      </c>
      <c r="C14" s="6" t="inlineStr">
        <is>
          <t>22pF 0402 C0G 50V MLCC</t>
        </is>
      </c>
      <c r="D14" s="7" t="inlineStr">
        <is>
          <t>DigiKey</t>
        </is>
      </c>
      <c r="E14" s="5" t="inlineStr">
        <is>
          <t>CL05C220JB5NNNC</t>
        </is>
      </c>
      <c r="F14" s="5" t="inlineStr">
        <is>
          <t>SAMSUNG</t>
        </is>
      </c>
      <c r="G14" s="4" t="n">
        <v>14</v>
      </c>
      <c r="H14" s="10" t="inlineStr">
        <is>
          <t>未確認</t>
        </is>
      </c>
      <c r="I14" s="5" t="n"/>
      <c r="J14" s="5" t="inlineStr"/>
      <c r="K14" s="6" t="inlineStr"/>
    </row>
    <row r="15" ht="30" customHeight="1">
      <c r="A15" s="4" t="inlineStr">
        <is>
          <t>発注済み</t>
        </is>
      </c>
      <c r="B15" s="5" t="inlineStr">
        <is>
          <t>D7</t>
        </is>
      </c>
      <c r="C15" s="6" t="inlineStr">
        <is>
          <t>汎用スイッチングダイオード SOD-123</t>
        </is>
      </c>
      <c r="D15" s="7" t="inlineStr">
        <is>
          <t>DigiKey</t>
        </is>
      </c>
      <c r="E15" s="5" t="inlineStr">
        <is>
          <t>1N4148W-7-F</t>
        </is>
      </c>
      <c r="F15" s="5" t="inlineStr">
        <is>
          <t>Diodes Incorporated</t>
        </is>
      </c>
      <c r="G15" s="4" t="n">
        <v>4</v>
      </c>
      <c r="H15" s="10" t="inlineStr">
        <is>
          <t>未確認</t>
        </is>
      </c>
      <c r="I15" s="5" t="n"/>
      <c r="J15" s="5" t="inlineStr"/>
      <c r="K15" s="6" t="inlineStr"/>
    </row>
    <row r="16" ht="30" customHeight="1">
      <c r="A16" s="4" t="inlineStr">
        <is>
          <t>発注済み</t>
        </is>
      </c>
      <c r="B16" s="5" t="inlineStr">
        <is>
          <t>FB1, FB2, FB3</t>
        </is>
      </c>
      <c r="C16" s="6" t="inlineStr">
        <is>
          <t>フェライトビーズ 220R@100MHz 0603</t>
        </is>
      </c>
      <c r="D16" s="7" t="inlineStr">
        <is>
          <t>DigiKey</t>
        </is>
      </c>
      <c r="E16" s="5" t="inlineStr">
        <is>
          <t>MPZ1608S221ATA00</t>
        </is>
      </c>
      <c r="F16" s="5" t="inlineStr">
        <is>
          <t>TDK</t>
        </is>
      </c>
      <c r="G16" s="4" t="n">
        <v>8</v>
      </c>
      <c r="H16" s="10" t="inlineStr">
        <is>
          <t>未確認</t>
        </is>
      </c>
      <c r="I16" s="5" t="n"/>
      <c r="J16" s="5" t="inlineStr"/>
      <c r="K16" s="6" t="inlineStr"/>
    </row>
    <row r="17" ht="30" customHeight="1">
      <c r="A17" s="4" t="inlineStr">
        <is>
          <t>発注済み</t>
        </is>
      </c>
      <c r="B17" s="5" t="inlineStr">
        <is>
          <t>R18, R19, R22, R39, R40, R41, R42</t>
        </is>
      </c>
      <c r="C17" s="6" t="inlineStr">
        <is>
          <t>1.5k 0402 1% 1/16W</t>
        </is>
      </c>
      <c r="D17" s="7" t="inlineStr">
        <is>
          <t>DigiKey</t>
        </is>
      </c>
      <c r="E17" s="5" t="inlineStr">
        <is>
          <t>RC0402FR-071K5L</t>
        </is>
      </c>
      <c r="F17" s="5" t="inlineStr">
        <is>
          <t>YAGEO</t>
        </is>
      </c>
      <c r="G17" s="4" t="n">
        <v>24</v>
      </c>
      <c r="H17" s="10" t="inlineStr">
        <is>
          <t>未確認</t>
        </is>
      </c>
      <c r="I17" s="5" t="n"/>
      <c r="J17" s="5" t="inlineStr"/>
      <c r="K17" s="6" t="inlineStr"/>
    </row>
    <row r="18" ht="30" customHeight="1">
      <c r="A18" s="4" t="inlineStr">
        <is>
          <t>発注済み</t>
        </is>
      </c>
      <c r="B18" s="5" t="inlineStr">
        <is>
          <t>R28, R29, R30, R31</t>
        </is>
      </c>
      <c r="C18" s="6" t="inlineStr">
        <is>
          <t>2.2k 0402 1% 1/16W</t>
        </is>
      </c>
      <c r="D18" s="7" t="inlineStr">
        <is>
          <t>DigiKey</t>
        </is>
      </c>
      <c r="E18" s="5" t="inlineStr">
        <is>
          <t>RC0402FR-072K2L</t>
        </is>
      </c>
      <c r="F18" s="5" t="inlineStr">
        <is>
          <t>YAGEO</t>
        </is>
      </c>
      <c r="G18" s="4" t="n">
        <v>18</v>
      </c>
      <c r="H18" s="10" t="inlineStr">
        <is>
          <t>未確認</t>
        </is>
      </c>
      <c r="I18" s="5" t="n"/>
      <c r="J18" s="5" t="inlineStr"/>
      <c r="K18" s="6" t="inlineStr"/>
    </row>
    <row r="19" ht="30" customHeight="1">
      <c r="A19" s="4" t="inlineStr">
        <is>
          <t>発注済み</t>
        </is>
      </c>
      <c r="B19" s="5" t="inlineStr">
        <is>
          <t>R3, R32, R33, R34, R35, R36, R37</t>
        </is>
      </c>
      <c r="C19" s="6" t="inlineStr">
        <is>
          <t>10k 0402 1% 1/16W</t>
        </is>
      </c>
      <c r="D19" s="7" t="inlineStr">
        <is>
          <t>DigiKey</t>
        </is>
      </c>
      <c r="E19" s="5" t="inlineStr">
        <is>
          <t>RC0402FR-0710KL</t>
        </is>
      </c>
      <c r="F19" s="5" t="inlineStr">
        <is>
          <t>YAGEO</t>
        </is>
      </c>
      <c r="G19" s="4" t="n">
        <v>24</v>
      </c>
      <c r="H19" s="10" t="inlineStr">
        <is>
          <t>未確認</t>
        </is>
      </c>
      <c r="I19" s="5" t="n"/>
      <c r="J19" s="5" t="inlineStr"/>
      <c r="K19" s="6" t="inlineStr"/>
    </row>
    <row r="20" ht="30" customHeight="1">
      <c r="A20" s="4" t="inlineStr">
        <is>
          <t>発注済み</t>
        </is>
      </c>
      <c r="B20" s="5" t="inlineStr">
        <is>
          <t>R4, R6, R8, R11, R13, R15, R17, R23, R25</t>
        </is>
      </c>
      <c r="C20" s="6" t="inlineStr">
        <is>
          <t>75R 0402 1% 1/16W</t>
        </is>
      </c>
      <c r="D20" s="7" t="inlineStr">
        <is>
          <t>DigiKey</t>
        </is>
      </c>
      <c r="E20" s="5" t="inlineStr">
        <is>
          <t>RC0402FR-0775RL</t>
        </is>
      </c>
      <c r="F20" s="5" t="inlineStr">
        <is>
          <t>YAGEO</t>
        </is>
      </c>
      <c r="G20" s="4" t="n">
        <v>28</v>
      </c>
      <c r="H20" s="10" t="inlineStr">
        <is>
          <t>未確認</t>
        </is>
      </c>
      <c r="I20" s="5" t="n"/>
      <c r="J20" s="5" t="inlineStr"/>
      <c r="K20" s="6" t="inlineStr"/>
    </row>
    <row r="21" ht="30" customHeight="1">
      <c r="A21" s="4" t="inlineStr">
        <is>
          <t>発注済み</t>
        </is>
      </c>
      <c r="B21" s="5" t="inlineStr">
        <is>
          <t>U15, U16</t>
        </is>
      </c>
      <c r="C21" s="6" t="inlineStr">
        <is>
          <t>2kbit EEPROM + EUI-48 MAC SOIC-8</t>
        </is>
      </c>
      <c r="D21" s="7" t="inlineStr">
        <is>
          <t>DigiKey</t>
        </is>
      </c>
      <c r="E21" s="5" t="inlineStr">
        <is>
          <t>24AA025E48-I/SN</t>
        </is>
      </c>
      <c r="F21" s="5" t="inlineStr">
        <is>
          <t>MICROCHIP</t>
        </is>
      </c>
      <c r="G21" s="4" t="n">
        <v>5</v>
      </c>
      <c r="H21" s="10" t="inlineStr">
        <is>
          <t>未確認</t>
        </is>
      </c>
      <c r="I21" s="5" t="n"/>
      <c r="J21" s="5" t="inlineStr"/>
      <c r="K21" s="6" t="inlineStr"/>
    </row>
    <row r="22" ht="30" customHeight="1">
      <c r="A22" s="4" t="inlineStr">
        <is>
          <t>発注済み</t>
        </is>
      </c>
      <c r="B22" s="5" t="inlineStr">
        <is>
          <t>U3, U4</t>
        </is>
      </c>
      <c r="C22" s="6" t="inlineStr">
        <is>
          <t>3.3V LDO SOT-223</t>
        </is>
      </c>
      <c r="D22" s="7" t="inlineStr">
        <is>
          <t>DigiKey</t>
        </is>
      </c>
      <c r="E22" s="5" t="inlineStr">
        <is>
          <t>AZ1117H-3.3TRE1</t>
        </is>
      </c>
      <c r="F22" s="5" t="inlineStr">
        <is>
          <t>DIODES</t>
        </is>
      </c>
      <c r="G22" s="4" t="n">
        <v>6</v>
      </c>
      <c r="H22" s="10" t="inlineStr">
        <is>
          <t>未確認</t>
        </is>
      </c>
      <c r="I22" s="5" t="n"/>
      <c r="J22" s="5" t="inlineStr"/>
      <c r="K22" s="6" t="inlineStr"/>
    </row>
    <row r="23" ht="30" customHeight="1">
      <c r="A23" s="4" t="inlineStr">
        <is>
          <t>発注済み</t>
        </is>
      </c>
      <c r="B23" s="5" t="inlineStr">
        <is>
          <t>U5</t>
        </is>
      </c>
      <c r="C23" s="6" t="inlineStr">
        <is>
          <t>1.8V LDO SOT-23-5</t>
        </is>
      </c>
      <c r="D23" s="7" t="inlineStr">
        <is>
          <t>DigiKey</t>
        </is>
      </c>
      <c r="E23" s="5" t="inlineStr">
        <is>
          <t>TLV75718PDBVR</t>
        </is>
      </c>
      <c r="F23" s="5" t="inlineStr">
        <is>
          <t>Texas Instruments</t>
        </is>
      </c>
      <c r="G23" s="4" t="n">
        <v>4</v>
      </c>
      <c r="H23" s="10" t="inlineStr">
        <is>
          <t>未確認</t>
        </is>
      </c>
      <c r="I23" s="5" t="n"/>
      <c r="J23" s="5" t="inlineStr"/>
      <c r="K23" s="6" t="inlineStr"/>
    </row>
    <row r="24" ht="30" customHeight="1">
      <c r="A24" s="4" t="inlineStr">
        <is>
          <t>発注済み</t>
        </is>
      </c>
      <c r="B24" s="5" t="inlineStr">
        <is>
          <t>U6</t>
        </is>
      </c>
      <c r="C24" s="6" t="inlineStr">
        <is>
          <t>1.9V 200mA LDO SOT-23-5</t>
        </is>
      </c>
      <c r="D24" s="7" t="inlineStr">
        <is>
          <t>DigiKey</t>
        </is>
      </c>
      <c r="E24" s="5" t="inlineStr">
        <is>
          <t>TLV70019DDCR</t>
        </is>
      </c>
      <c r="F24" s="5" t="inlineStr">
        <is>
          <t>TI</t>
        </is>
      </c>
      <c r="G24" s="4" t="n">
        <v>4</v>
      </c>
      <c r="H24" s="10" t="inlineStr">
        <is>
          <t>未確認</t>
        </is>
      </c>
      <c r="I24" s="5" t="n"/>
      <c r="J24" s="5" t="inlineStr"/>
      <c r="K24" s="6" t="inlineStr"/>
    </row>
    <row r="25" ht="30" customHeight="1">
      <c r="A25" s="4" t="inlineStr">
        <is>
          <t>発注済み</t>
        </is>
      </c>
      <c r="B25" s="5" t="inlineStr">
        <is>
          <t>U2, U8, U10, U11, U12</t>
        </is>
      </c>
      <c r="C25" s="6" t="inlineStr">
        <is>
          <t>デュアルシュミットバッファ SOT-23-6</t>
        </is>
      </c>
      <c r="D25" s="11" t="inlineStr">
        <is>
          <t>LCSC</t>
        </is>
      </c>
      <c r="E25" s="5" t="inlineStr">
        <is>
          <t>SN74LVC2G17DBVR</t>
        </is>
      </c>
      <c r="F25" s="5" t="inlineStr"/>
      <c r="G25" s="4" t="n">
        <v>12</v>
      </c>
      <c r="H25" s="5" t="inlineStr">
        <is>
          <t>$0.2403</t>
        </is>
      </c>
      <c r="I25" s="8" t="n">
        <v>447</v>
      </c>
      <c r="J25" s="5" t="inlineStr"/>
      <c r="K25" s="6" t="inlineStr"/>
    </row>
    <row r="26" ht="30" customHeight="1">
      <c r="A26" s="4" t="inlineStr">
        <is>
          <t>発注済み</t>
        </is>
      </c>
      <c r="B26" s="5" t="inlineStr">
        <is>
          <t>C1, C2, C3, C4, C5, C7, C60, C63, C67, C68, C71, C75, C76</t>
        </is>
      </c>
      <c r="C26" s="6" t="inlineStr">
        <is>
          <t>10uF 0805 X5R 25V MLCC</t>
        </is>
      </c>
      <c r="D26" s="11" t="inlineStr">
        <is>
          <t>LCSC</t>
        </is>
      </c>
      <c r="E26" s="5" t="inlineStr">
        <is>
          <t>CL21A106KAYNNNE</t>
        </is>
      </c>
      <c r="F26" s="5" t="inlineStr"/>
      <c r="G26" s="4" t="n">
        <v>36</v>
      </c>
      <c r="H26" s="5" t="inlineStr">
        <is>
          <t>$0.0795</t>
        </is>
      </c>
      <c r="I26" s="8" t="n">
        <v>444</v>
      </c>
      <c r="J26" s="5" t="inlineStr"/>
      <c r="K26" s="6" t="inlineStr">
        <is>
          <t>MOQ40</t>
        </is>
      </c>
    </row>
    <row r="27" ht="30" customHeight="1">
      <c r="A27" s="4" t="inlineStr">
        <is>
          <t>発注済み</t>
        </is>
      </c>
      <c r="B27" s="5" t="inlineStr">
        <is>
          <t>C82, C83, C84, C85</t>
        </is>
      </c>
      <c r="C27" s="6" t="inlineStr">
        <is>
          <t>4.7nF 2kV X7R 1812(RJ45 シャーシ-論理GND ブリッジ)</t>
        </is>
      </c>
      <c r="D27" s="11" t="inlineStr">
        <is>
          <t>LCSC</t>
        </is>
      </c>
      <c r="E27" s="5" t="inlineStr">
        <is>
          <t>CC1812KKX7RDBB472</t>
        </is>
      </c>
      <c r="F27" s="5" t="inlineStr"/>
      <c r="G27" s="4" t="n">
        <v>10</v>
      </c>
      <c r="H27" s="5" t="inlineStr">
        <is>
          <t>$0.2414</t>
        </is>
      </c>
      <c r="I27" s="8" t="n">
        <v>374</v>
      </c>
      <c r="J27" s="5" t="inlineStr"/>
      <c r="K27" s="6" t="inlineStr"/>
    </row>
    <row r="28" ht="30" customHeight="1">
      <c r="A28" s="4" t="inlineStr">
        <is>
          <t>発注済み</t>
        </is>
      </c>
      <c r="B28" s="5" t="inlineStr">
        <is>
          <t>X1</t>
        </is>
      </c>
      <c r="C28" s="6" t="inlineStr">
        <is>
          <t>27MHz アクティブ発振器 3.2x2.5mm 4pad 3.3V CMOS</t>
        </is>
      </c>
      <c r="D28" s="11" t="inlineStr">
        <is>
          <t>LCSC</t>
        </is>
      </c>
      <c r="E28" s="5" t="inlineStr">
        <is>
          <t>OT322527MJBA4SL</t>
        </is>
      </c>
      <c r="F28" s="5" t="inlineStr"/>
      <c r="G28" s="4" t="n">
        <v>4</v>
      </c>
      <c r="H28" s="5" t="inlineStr">
        <is>
          <t>$0.4311</t>
        </is>
      </c>
      <c r="I28" s="8" t="n">
        <v>267</v>
      </c>
      <c r="J28" s="5" t="inlineStr"/>
      <c r="K28" s="6" t="inlineStr"/>
    </row>
    <row r="29" ht="30" customHeight="1">
      <c r="A29" s="4" t="inlineStr">
        <is>
          <t>発注済み</t>
        </is>
      </c>
      <c r="B29" s="5" t="inlineStr">
        <is>
          <t>X3</t>
        </is>
      </c>
      <c r="C29" s="6" t="inlineStr">
        <is>
          <t>12.288MHz アクティブ発振器 3.2x2.5mm 4pad 3.3V CMOS</t>
        </is>
      </c>
      <c r="D29" s="11" t="inlineStr">
        <is>
          <t>LCSC</t>
        </is>
      </c>
      <c r="E29" s="5" t="inlineStr">
        <is>
          <t>OT2JI-111-12.288M</t>
        </is>
      </c>
      <c r="F29" s="5" t="inlineStr"/>
      <c r="G29" s="4" t="n">
        <v>4</v>
      </c>
      <c r="H29" s="5" t="inlineStr">
        <is>
          <t>$0.3033</t>
        </is>
      </c>
      <c r="I29" s="8" t="n">
        <v>188</v>
      </c>
      <c r="J29" s="5" t="inlineStr"/>
      <c r="K29" s="6" t="inlineStr"/>
    </row>
    <row r="30" ht="30" customHeight="1">
      <c r="A30" s="4" t="inlineStr">
        <is>
          <t>発注済み</t>
        </is>
      </c>
      <c r="B30" s="5" t="inlineStr">
        <is>
          <t>J1</t>
        </is>
      </c>
      <c r="C30" s="6" t="inlineStr">
        <is>
          <t>D-SUB 15pin(DA-15 2列)メス スルーホール</t>
        </is>
      </c>
      <c r="D30" s="11" t="inlineStr">
        <is>
          <t>LCSC</t>
        </is>
      </c>
      <c r="E30" s="5" t="inlineStr">
        <is>
          <t>DS1037-15FNAKT76-0CC</t>
        </is>
      </c>
      <c r="F30" s="5" t="inlineStr"/>
      <c r="G30" s="4" t="n">
        <v>2</v>
      </c>
      <c r="H30" s="5" t="inlineStr">
        <is>
          <t>$0.4268</t>
        </is>
      </c>
      <c r="I30" s="8" t="n">
        <v>132</v>
      </c>
      <c r="J30" s="5" t="inlineStr"/>
      <c r="K30" s="6" t="inlineStr"/>
    </row>
    <row r="31" ht="30" customHeight="1">
      <c r="A31" s="4" t="inlineStr">
        <is>
          <t>発注済み</t>
        </is>
      </c>
      <c r="B31" s="5" t="inlineStr">
        <is>
          <t>X2</t>
        </is>
      </c>
      <c r="C31" s="6" t="inlineStr">
        <is>
          <t>8MHz 水晶 3.2x2.5mm 4pad CL=20pF</t>
        </is>
      </c>
      <c r="D31" s="11" t="inlineStr">
        <is>
          <t>LCSC</t>
        </is>
      </c>
      <c r="E31" s="5" t="inlineStr">
        <is>
          <t>X32258MSB4SI</t>
        </is>
      </c>
      <c r="F31" s="5" t="inlineStr"/>
      <c r="G31" s="4" t="n">
        <v>4</v>
      </c>
      <c r="H31" s="5" t="inlineStr">
        <is>
          <t>$0.1942</t>
        </is>
      </c>
      <c r="I31" s="8" t="n">
        <v>120</v>
      </c>
      <c r="J31" s="5" t="inlineStr"/>
      <c r="K31" s="6" t="inlineStr"/>
    </row>
    <row r="32" ht="30" customHeight="1">
      <c r="A32" s="4" t="inlineStr">
        <is>
          <t>発注済み</t>
        </is>
      </c>
      <c r="B32" s="5" t="inlineStr">
        <is>
          <t>D9</t>
        </is>
      </c>
      <c r="C32" s="6" t="inlineStr">
        <is>
          <t>USB 2ライン ESD 保護アレイ SOT-23-6</t>
        </is>
      </c>
      <c r="D32" s="11" t="inlineStr">
        <is>
          <t>LCSC</t>
        </is>
      </c>
      <c r="E32" s="5" t="inlineStr">
        <is>
          <t>USBLC6-2SC6</t>
        </is>
      </c>
      <c r="F32" s="5" t="inlineStr"/>
      <c r="G32" s="4" t="n">
        <v>4</v>
      </c>
      <c r="H32" s="5" t="inlineStr">
        <is>
          <t>$0.1432</t>
        </is>
      </c>
      <c r="I32" s="8" t="n">
        <v>89</v>
      </c>
      <c r="J32" s="5" t="inlineStr"/>
      <c r="K32" s="6" t="inlineStr">
        <is>
          <t>MOQ5</t>
        </is>
      </c>
    </row>
    <row r="33" ht="30" customHeight="1">
      <c r="A33" s="4" t="inlineStr">
        <is>
          <t>発注済み</t>
        </is>
      </c>
      <c r="B33" s="5" t="inlineStr">
        <is>
          <t>LED1</t>
        </is>
      </c>
      <c r="C33" s="6" t="inlineStr">
        <is>
          <t>フルカラーLED 2020(WS2812B互換, 制御IC内蔵)</t>
        </is>
      </c>
      <c r="D33" s="11" t="inlineStr">
        <is>
          <t>LCSC</t>
        </is>
      </c>
      <c r="E33" s="5" t="inlineStr">
        <is>
          <t>XL-2020RGBC-2812B</t>
        </is>
      </c>
      <c r="F33" s="5" t="inlineStr"/>
      <c r="G33" s="4" t="n">
        <v>4</v>
      </c>
      <c r="H33" s="5" t="inlineStr">
        <is>
          <t>$0.0925</t>
        </is>
      </c>
      <c r="I33" s="8" t="n">
        <v>57</v>
      </c>
      <c r="J33" s="5" t="inlineStr"/>
      <c r="K33" s="6" t="inlineStr"/>
    </row>
    <row r="34" ht="30" customHeight="1">
      <c r="A34" s="4" t="inlineStr">
        <is>
          <t>発注済み</t>
        </is>
      </c>
      <c r="B34" s="5" t="inlineStr">
        <is>
          <t>R1, R2</t>
        </is>
      </c>
      <c r="C34" s="6" t="inlineStr">
        <is>
          <t>5.1k 0402 1% 1/16W(USB-C CC プルダウン)</t>
        </is>
      </c>
      <c r="D34" s="11" t="inlineStr">
        <is>
          <t>LCSC</t>
        </is>
      </c>
      <c r="E34" s="5" t="inlineStr">
        <is>
          <t>0402WGF5101TCE</t>
        </is>
      </c>
      <c r="F34" s="5" t="inlineStr"/>
      <c r="G34" s="4" t="n">
        <v>14</v>
      </c>
      <c r="H34" s="5" t="inlineStr">
        <is>
          <t>$0.0043</t>
        </is>
      </c>
      <c r="I34" s="8" t="n">
        <v>9</v>
      </c>
      <c r="J34" s="5" t="inlineStr"/>
      <c r="K34" s="6" t="inlineStr">
        <is>
          <t>MOQ100</t>
        </is>
      </c>
    </row>
    <row r="35" ht="30" customHeight="1">
      <c r="A35" s="4" t="inlineStr">
        <is>
          <t>発注済み</t>
        </is>
      </c>
      <c r="B35" s="5" t="inlineStr">
        <is>
          <t>J2</t>
        </is>
      </c>
      <c r="C35" s="6" t="inlineStr">
        <is>
          <t>USB Type-C レセプタクル 16pin SMD</t>
        </is>
      </c>
      <c r="D35" s="11" t="inlineStr">
        <is>
          <t>LCSC</t>
        </is>
      </c>
      <c r="E35" s="5" t="inlineStr">
        <is>
          <t>TYPE-C-31-M-12</t>
        </is>
      </c>
      <c r="F35" s="5" t="inlineStr"/>
      <c r="G35" s="4" t="n">
        <v>4</v>
      </c>
      <c r="H35" s="10" t="inlineStr">
        <is>
          <t>未確認</t>
        </is>
      </c>
      <c r="I35" s="5" t="n"/>
      <c r="J35" s="5" t="inlineStr"/>
      <c r="K35" s="6" t="inlineStr">
        <is>
          <t>MOQ5</t>
        </is>
      </c>
    </row>
    <row r="36" ht="30" customHeight="1">
      <c r="A36" s="4" t="inlineStr">
        <is>
          <t>発注済み</t>
        </is>
      </c>
      <c r="B36" s="5" t="inlineStr">
        <is>
          <t>J6</t>
        </is>
      </c>
      <c r="C36" s="6" t="inlineStr">
        <is>
          <t>1.25mm ピッチ 8pin SMD コネクタ</t>
        </is>
      </c>
      <c r="D36" s="11" t="inlineStr">
        <is>
          <t>LCSC</t>
        </is>
      </c>
      <c r="E36" s="5" t="inlineStr">
        <is>
          <t>YTC-A1251-08ABW</t>
        </is>
      </c>
      <c r="F36" s="5" t="inlineStr"/>
      <c r="G36" s="4" t="n">
        <v>4</v>
      </c>
      <c r="H36" s="10" t="inlineStr">
        <is>
          <t>未確認</t>
        </is>
      </c>
      <c r="I36" s="5" t="n"/>
      <c r="J36" s="5" t="inlineStr"/>
      <c r="K36" s="6" t="inlineStr">
        <is>
          <t>MOQ10</t>
        </is>
      </c>
    </row>
    <row r="37" ht="30" customHeight="1">
      <c r="A37" s="4" t="inlineStr">
        <is>
          <t>発注済み</t>
        </is>
      </c>
      <c r="B37" s="5" t="inlineStr">
        <is>
          <t>U7</t>
        </is>
      </c>
      <c r="C37" s="6" t="inlineStr">
        <is>
          <t>USB-HS → JTAG+UART ブリッジ QFN-28</t>
        </is>
      </c>
      <c r="D37" s="11" t="inlineStr">
        <is>
          <t>LCSC</t>
        </is>
      </c>
      <c r="E37" s="5" t="inlineStr">
        <is>
          <t>CH347F</t>
        </is>
      </c>
      <c r="F37" s="5" t="inlineStr"/>
      <c r="G37" s="4" t="n">
        <v>4</v>
      </c>
      <c r="H37" s="10" t="inlineStr">
        <is>
          <t>未確認</t>
        </is>
      </c>
      <c r="I37" s="5" t="n"/>
      <c r="J37" s="5" t="inlineStr"/>
      <c r="K37" s="6" t="inlineStr"/>
    </row>
    <row r="38" ht="30" customHeight="1">
      <c r="A38" s="4" t="inlineStr">
        <is>
          <t>手持ち在庫あり</t>
        </is>
      </c>
      <c r="B38" s="5" t="inlineStr">
        <is>
          <t>J11, J12</t>
        </is>
      </c>
      <c r="C38" s="6" t="inlineStr">
        <is>
          <t>RJ45 パルストランス内蔵 10/100/1000 スルーホール</t>
        </is>
      </c>
      <c r="D38" s="9" t="inlineStr">
        <is>
          <t>AliExpress</t>
        </is>
      </c>
      <c r="E38" s="5" t="inlineStr">
        <is>
          <t>HR911130A</t>
        </is>
      </c>
      <c r="F38" s="5" t="inlineStr"/>
      <c r="G38" s="4" t="n">
        <v>6</v>
      </c>
      <c r="H38" s="5" t="inlineStr">
        <is>
          <t>$2.1665</t>
        </is>
      </c>
      <c r="I38" s="8" t="n">
        <v>2015</v>
      </c>
      <c r="J38" s="5" t="inlineStr"/>
      <c r="K38" s="6" t="inlineStr">
        <is>
          <t>4個在庫あり</t>
        </is>
      </c>
    </row>
    <row r="39" ht="30" customHeight="1">
      <c r="A39" s="4" t="inlineStr">
        <is>
          <t>未発注</t>
        </is>
      </c>
      <c r="B39" s="5" t="inlineStr">
        <is>
          <t>(module)</t>
        </is>
      </c>
      <c r="C39" s="6" t="inlineStr">
        <is>
          <t>SO-DIMM FPGA モジュール本体。AliExpress 等</t>
        </is>
      </c>
      <c r="D39" s="9" t="inlineStr">
        <is>
          <t>AliExpress</t>
        </is>
      </c>
      <c r="E39" s="5" t="inlineStr">
        <is>
          <t>Colorlight i5 (ECP5)</t>
        </is>
      </c>
      <c r="F39" s="5" t="inlineStr"/>
      <c r="G39" s="4" t="n">
        <v>2</v>
      </c>
      <c r="H39" s="10" t="inlineStr">
        <is>
          <t>未確認</t>
        </is>
      </c>
      <c r="I39" s="5" t="n"/>
      <c r="J39" s="5" t="inlineStr"/>
      <c r="K39" s="6" t="inlineStr"/>
    </row>
    <row r="40" ht="30" customHeight="1">
      <c r="A40" s="4" t="inlineStr">
        <is>
          <t>未発注</t>
        </is>
      </c>
      <c r="B40" s="5" t="inlineStr">
        <is>
          <t>PG1-PG4</t>
        </is>
      </c>
      <c r="C40" s="6" t="inlineStr">
        <is>
          <t>★必須部品。「任意。未実装でも動作する」と書いていたのは誤り(2026-08-19訂正)。SO-DIMM コネクタに JTAG は通っておらず、i5 モジュール底面のテストパッド(TCK/TMS/TDI/TDO)へバネ接触させるこの4本が*</t>
        </is>
      </c>
      <c r="D40" s="9" t="inlineStr">
        <is>
          <t>AliExpress</t>
        </is>
      </c>
      <c r="E40" s="5" t="inlineStr">
        <is>
          <t>バネ付きコンタクトピン(圧入TH, 胴径1.0mm, 基板上高さ約3mm)</t>
        </is>
      </c>
      <c r="F40" s="5" t="inlineStr"/>
      <c r="G40" s="4" t="n">
        <v>8</v>
      </c>
      <c r="H40" s="10" t="inlineStr">
        <is>
          <t>未確認</t>
        </is>
      </c>
      <c r="I40" s="5" t="n"/>
      <c r="J40" s="5" t="inlineStr"/>
      <c r="K40" s="6" t="inlineStr"/>
    </row>
    <row r="41" ht="30" customHeight="1">
      <c r="A41" s="4" t="inlineStr">
        <is>
          <t>不要</t>
        </is>
      </c>
      <c r="B41" s="5" t="inlineStr">
        <is>
          <t>H1-H5</t>
        </is>
      </c>
      <c r="C41" s="6" t="inlineStr">
        <is>
          <t>取付穴。基板発注には含まれない</t>
        </is>
      </c>
      <c r="D41" s="12" t="inlineStr">
        <is>
          <t>秋月電子等</t>
        </is>
      </c>
      <c r="E41" s="5" t="inlineStr">
        <is>
          <t>M2.6 ネジ + スペーサ</t>
        </is>
      </c>
      <c r="F41" s="5" t="inlineStr"/>
      <c r="G41" s="4" t="n">
        <v>10</v>
      </c>
      <c r="H41" s="10" t="inlineStr">
        <is>
          <t>未確認</t>
        </is>
      </c>
      <c r="I41" s="5" t="n"/>
      <c r="J41" s="5" t="inlineStr"/>
      <c r="K41" s="6" t="inlineStr"/>
    </row>
    <row r="42" ht="30" customHeight="1">
      <c r="A42" s="4" t="inlineStr">
        <is>
          <t>手持ち在庫あり</t>
        </is>
      </c>
      <c r="B42" s="5" t="inlineStr">
        <is>
          <t>J10</t>
        </is>
      </c>
      <c r="C42" s="6" t="inlineStr">
        <is>
          <t>OLED</t>
        </is>
      </c>
      <c r="D42" s="12" t="inlineStr">
        <is>
          <t>秋月電子等</t>
        </is>
      </c>
      <c r="E42" s="5" t="inlineStr">
        <is>
          <t>ピンヘッダ 1x4 2.54mm</t>
        </is>
      </c>
      <c r="F42" s="5" t="inlineStr"/>
      <c r="G42" s="4" t="n">
        <v>2</v>
      </c>
      <c r="H42" s="10" t="inlineStr">
        <is>
          <t>未確認</t>
        </is>
      </c>
      <c r="I42" s="5" t="n"/>
      <c r="J42" s="5" t="inlineStr"/>
      <c r="K42" s="6" t="inlineStr"/>
    </row>
    <row r="43" ht="30" customHeight="1">
      <c r="A43" s="4" t="inlineStr">
        <is>
          <t>未発注</t>
        </is>
      </c>
      <c r="B43" s="5" t="inlineStr">
        <is>
          <t>J3</t>
        </is>
      </c>
      <c r="C43" s="6" t="inlineStr">
        <is>
          <t>JTAG。秋月・千石等で可</t>
        </is>
      </c>
      <c r="D43" s="12" t="inlineStr">
        <is>
          <t>秋月電子等</t>
        </is>
      </c>
      <c r="E43" s="5" t="inlineStr">
        <is>
          <t>ピンヘッダ 1x6 2.54mm</t>
        </is>
      </c>
      <c r="F43" s="5" t="inlineStr"/>
      <c r="G43" s="4" t="n">
        <v>2</v>
      </c>
      <c r="H43" s="10" t="inlineStr">
        <is>
          <t>未確認</t>
        </is>
      </c>
      <c r="I43" s="5" t="n"/>
      <c r="J43" s="5" t="inlineStr"/>
      <c r="K43" s="6" t="inlineStr"/>
    </row>
    <row r="44" ht="30" customHeight="1">
      <c r="A44" s="4" t="inlineStr">
        <is>
          <t>未発注</t>
        </is>
      </c>
      <c r="B44" s="5" t="inlineStr">
        <is>
          <t>J4</t>
        </is>
      </c>
      <c r="C44" s="6" t="inlineStr">
        <is>
          <t>第2映像入力(AUX)。シュラウド付</t>
        </is>
      </c>
      <c r="D44" s="12" t="inlineStr">
        <is>
          <t>秋月電子等</t>
        </is>
      </c>
      <c r="E44" s="5" t="inlineStr">
        <is>
          <t>ボックスヘッダ 2x5 2.54mm</t>
        </is>
      </c>
      <c r="F44" s="5" t="inlineStr"/>
      <c r="G44" s="4" t="n">
        <v>2</v>
      </c>
      <c r="H44" s="10" t="inlineStr">
        <is>
          <t>未確認</t>
        </is>
      </c>
      <c r="I44" s="5" t="n"/>
      <c r="J44" s="5" t="inlineStr"/>
      <c r="K44" s="6" t="inlineStr"/>
    </row>
    <row r="45" ht="30" customHeight="1">
      <c r="A45" s="4" t="inlineStr">
        <is>
          <t>未発注</t>
        </is>
      </c>
      <c r="B45" s="5" t="inlineStr">
        <is>
          <t>J5</t>
        </is>
      </c>
      <c r="C45" s="6" t="inlineStr">
        <is>
          <t>S-Video + 音声。シュラウド付</t>
        </is>
      </c>
      <c r="D45" s="12" t="inlineStr">
        <is>
          <t>秋月電子等</t>
        </is>
      </c>
      <c r="E45" s="5" t="inlineStr">
        <is>
          <t>ボックスヘッダ 2x4 2.54mm</t>
        </is>
      </c>
      <c r="F45" s="5" t="inlineStr"/>
      <c r="G45" s="4" t="n">
        <v>2</v>
      </c>
      <c r="H45" s="10" t="inlineStr">
        <is>
          <t>未確認</t>
        </is>
      </c>
      <c r="I45" s="5" t="n"/>
      <c r="J45" s="5" t="inlineStr"/>
      <c r="K45" s="6" t="inlineStr"/>
    </row>
    <row r="46" ht="30" customHeight="1">
      <c r="A46" s="4" t="inlineStr">
        <is>
          <t>未発注</t>
        </is>
      </c>
      <c r="B46" s="5" t="inlineStr">
        <is>
          <t>J7</t>
        </is>
      </c>
      <c r="C46" s="6" t="inlineStr">
        <is>
          <t>デバッグ</t>
        </is>
      </c>
      <c r="D46" s="12" t="inlineStr">
        <is>
          <t>秋月電子等</t>
        </is>
      </c>
      <c r="E46" s="5" t="inlineStr">
        <is>
          <t>ピンヘッダ 2x15 2.54mm</t>
        </is>
      </c>
      <c r="F46" s="5" t="inlineStr"/>
      <c r="G46" s="4" t="n">
        <v>2</v>
      </c>
      <c r="H46" s="10" t="inlineStr">
        <is>
          <t>未確認</t>
        </is>
      </c>
      <c r="I46" s="5" t="n"/>
      <c r="J46" s="5" t="inlineStr"/>
      <c r="K46" s="6" t="inlineStr"/>
    </row>
    <row r="47" ht="30" customHeight="1">
      <c r="A47" s="4" t="inlineStr">
        <is>
          <t>発注済み</t>
        </is>
      </c>
      <c r="B47" s="5" t="inlineStr">
        <is>
          <t>J8</t>
        </is>
      </c>
      <c r="C47" s="6" t="inlineStr">
        <is>
          <t>S/PDIF 光受信モジュール。秋月電子 109595(150円)。★PLR135/T10 は DigiKey 廃品種・在庫0、代替の PLR237/T10BK も在庫0だったため 形状違いの PLR135/T へ変更。ランドが違うのでフッ</t>
        </is>
      </c>
      <c r="D47" s="12" t="inlineStr">
        <is>
          <t>秋月電子等</t>
        </is>
      </c>
      <c r="E47" s="5" t="inlineStr">
        <is>
          <t>PLR135/T</t>
        </is>
      </c>
      <c r="F47" s="5" t="inlineStr">
        <is>
          <t>EVERLIGHT</t>
        </is>
      </c>
      <c r="G47" s="4" t="n">
        <v>2</v>
      </c>
      <c r="H47" s="10" t="inlineStr">
        <is>
          <t>未確認</t>
        </is>
      </c>
      <c r="I47" s="5" t="n"/>
      <c r="J47" s="5" t="inlineStr"/>
      <c r="K47" s="6" t="inlineStr"/>
    </row>
    <row r="48" ht="30" customHeight="1">
      <c r="A48" s="4" t="inlineStr">
        <is>
          <t>未発注</t>
        </is>
      </c>
      <c r="B48" s="5" t="inlineStr">
        <is>
          <t>J9</t>
        </is>
      </c>
      <c r="C48" s="6" t="inlineStr">
        <is>
          <t>Argus</t>
        </is>
      </c>
      <c r="D48" s="12" t="inlineStr">
        <is>
          <t>秋月電子等</t>
        </is>
      </c>
      <c r="E48" s="5" t="inlineStr">
        <is>
          <t>ピンヘッダ 1x4 2.54mm</t>
        </is>
      </c>
      <c r="F48" s="5" t="inlineStr"/>
      <c r="G48" s="4" t="n">
        <v>2</v>
      </c>
      <c r="H48" s="10" t="inlineStr">
        <is>
          <t>未確認</t>
        </is>
      </c>
      <c r="I48" s="5" t="n"/>
      <c r="J48" s="5" t="inlineStr"/>
      <c r="K48" s="6" t="inlineStr"/>
    </row>
    <row r="50">
      <c r="A50" s="13" t="inlineStr">
        <is>
          <t>合計</t>
        </is>
      </c>
      <c r="G50" s="13">
        <f>SUM(G3:G48)</f>
        <v/>
      </c>
      <c r="I50" s="14">
        <f>SUM(I3:I48)</f>
        <v/>
      </c>
      <c r="J50" s="15" t="inlineStr">
        <is>
          <t>★単価「未確認」の品目は小計に入っていません</t>
        </is>
      </c>
    </row>
    <row r="52">
      <c r="A52" s="13" t="inlineStr">
        <is>
          <t>進捗</t>
        </is>
      </c>
      <c r="B52" t="inlineStr">
        <is>
          <t>未発注</t>
        </is>
      </c>
      <c r="C52">
        <f>COUNTIF($A$3:$A$48,"未発注") &amp; " / 46 品目"</f>
        <v/>
      </c>
    </row>
    <row r="53">
      <c r="B53" t="inlineStr">
        <is>
          <t>発注済み</t>
        </is>
      </c>
      <c r="C53">
        <f>COUNTIF($A$3:$A$48,"発注済み") &amp; " / 46 品目"</f>
        <v/>
      </c>
    </row>
    <row r="54">
      <c r="B54" t="inlineStr">
        <is>
          <t>到着済み</t>
        </is>
      </c>
      <c r="C54">
        <f>COUNTIF($A$3:$A$48,"到着済み") &amp; " / 46 品目"</f>
        <v/>
      </c>
    </row>
    <row r="55">
      <c r="B55" t="inlineStr">
        <is>
          <t>手持ち在庫あり</t>
        </is>
      </c>
      <c r="C55">
        <f>COUNTIF($A$3:$A$48,"手持ち在庫あり") &amp; " / 46 品目"</f>
        <v/>
      </c>
    </row>
    <row r="56">
      <c r="B56" t="inlineStr">
        <is>
          <t>不要</t>
        </is>
      </c>
      <c r="C56">
        <f>COUNTIF($A$3:$A$48,"不要") &amp; " / 46 品目"</f>
        <v/>
      </c>
    </row>
  </sheetData>
  <conditionalFormatting sqref="A3:K48">
    <cfRule type="expression" priority="1" dxfId="0" stopIfTrue="0">
      <formula>$A3="未発注"</formula>
    </cfRule>
    <cfRule type="expression" priority="2" dxfId="1" stopIfTrue="0">
      <formula>$A3="発注済み"</formula>
    </cfRule>
    <cfRule type="expression" priority="3" dxfId="2" stopIfTrue="0">
      <formula>$A3="到着済み"</formula>
    </cfRule>
    <cfRule type="expression" priority="4" dxfId="2" stopIfTrue="0">
      <formula>$A3="手持ち在庫あり"</formula>
    </cfRule>
    <cfRule type="expression" priority="5" dxfId="3" stopIfTrue="0">
      <formula>$A3="不要"</formula>
    </cfRule>
  </conditionalFormatting>
  <dataValidations count="1">
    <dataValidation sqref="A3:A48" showDropDown="0" showInputMessage="0" showErrorMessage="0" allowBlank="0" errorTitle="無効な値" error="一覧から選んでください" type="list">
      <formula1>"未発注,発注済み,到着済み,手持ち在庫あり,不要"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8" customWidth="1" min="4" max="4"/>
    <col width="30" customWidth="1" min="5" max="5"/>
  </cols>
  <sheetData>
    <row r="1">
      <c r="A1" s="1" t="inlineStr">
        <is>
          <t>発注先ごとの内訳</t>
        </is>
      </c>
    </row>
    <row r="2">
      <c r="A2" s="16" t="inlineStr">
        <is>
          <t>発注先</t>
        </is>
      </c>
      <c r="B2" s="16" t="inlineStr">
        <is>
          <t>品目数</t>
        </is>
      </c>
      <c r="C2" s="16" t="inlineStr">
        <is>
          <t>総個数</t>
        </is>
      </c>
      <c r="D2" s="16" t="inlineStr">
        <is>
          <t>確認済み金額(円)</t>
        </is>
      </c>
      <c r="E2" s="16" t="inlineStr">
        <is>
          <t>アップロード用ファイル</t>
        </is>
      </c>
    </row>
    <row r="3">
      <c r="A3" s="17" t="inlineStr">
        <is>
          <t>DigiKey</t>
        </is>
      </c>
      <c r="B3" s="18" t="n">
        <v>21</v>
      </c>
      <c r="C3" s="18" t="n">
        <v>401</v>
      </c>
      <c r="D3" s="19" t="n">
        <v>6157</v>
      </c>
      <c r="E3" s="18" t="inlineStr">
        <is>
          <t>orders/&lt;tag&gt;/digikey-bom.csv</t>
        </is>
      </c>
    </row>
    <row r="4">
      <c r="A4" s="20" t="inlineStr">
        <is>
          <t>LCSC</t>
        </is>
      </c>
      <c r="B4" s="18" t="n">
        <v>13</v>
      </c>
      <c r="C4" s="18" t="n">
        <v>106</v>
      </c>
      <c r="D4" s="19" t="n">
        <v>2128</v>
      </c>
      <c r="E4" s="18" t="inlineStr">
        <is>
          <t>orders/&lt;tag&gt;/lcsc-bom.csv</t>
        </is>
      </c>
    </row>
    <row r="5">
      <c r="A5" s="21" t="inlineStr">
        <is>
          <t>AliExpress</t>
        </is>
      </c>
      <c r="B5" s="18" t="n">
        <v>4</v>
      </c>
      <c r="C5" s="18" t="n">
        <v>18</v>
      </c>
      <c r="D5" s="19" t="n">
        <v>5275</v>
      </c>
      <c r="E5" s="18" t="inlineStr">
        <is>
          <t>(手動。RJ45・ポゴピン・i5モジュール)</t>
        </is>
      </c>
    </row>
    <row r="6">
      <c r="A6" s="22" t="inlineStr">
        <is>
          <t>秋月電子等</t>
        </is>
      </c>
      <c r="B6" s="18" t="n">
        <v>8</v>
      </c>
      <c r="C6" s="18" t="n">
        <v>24</v>
      </c>
      <c r="D6" s="19" t="inlineStr">
        <is>
          <t>未確認</t>
        </is>
      </c>
      <c r="E6" s="18" t="inlineStr">
        <is>
          <t>(手動。ピンヘッダ・ネジ・PLR135/T)</t>
        </is>
      </c>
    </row>
    <row r="8">
      <c r="A8" s="2" t="inlineStr">
        <is>
          <t>為替: DigiKey は USD x 170、LCSC/AliExpress は USD x 155。確定額は各社の BOM ツールで出すこと。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10" customWidth="1" min="3" max="3"/>
  </cols>
  <sheetData>
    <row r="1">
      <c r="A1" s="1" t="inlineStr">
        <is>
          <t>★発注前に確認すること</t>
        </is>
      </c>
    </row>
    <row r="2">
      <c r="A2" s="16" t="inlineStr">
        <is>
          <t>部品</t>
        </is>
      </c>
      <c r="B2" s="16" t="inlineStr">
        <is>
          <t>品番</t>
        </is>
      </c>
      <c r="C2" s="16" t="inlineStr">
        <is>
          <t>注意</t>
        </is>
      </c>
    </row>
    <row r="3" ht="90" customHeight="1">
      <c r="A3" s="5" t="inlineStr">
        <is>
          <t>C42</t>
        </is>
      </c>
      <c r="B3" s="5" t="inlineStr">
        <is>
          <t>CL05B102KB5NNNC</t>
        </is>
      </c>
      <c r="C3" s="6" t="inlineStr">
        <is>
          <t>FH(風華)は DK/Mouser 扱い無し。同容量・同耐圧の Samsung へ</t>
        </is>
      </c>
    </row>
    <row r="4" ht="90" customHeight="1">
      <c r="A4" s="5" t="inlineStr">
        <is>
          <t>C45</t>
        </is>
      </c>
      <c r="B4" s="5" t="inlineStr">
        <is>
          <t>CL05B472KB5NNNC</t>
        </is>
      </c>
      <c r="C4" s="6" t="inlineStr">
        <is>
          <t>同上</t>
        </is>
      </c>
    </row>
    <row r="5" ht="90" customHeight="1">
      <c r="A5" s="5" t="inlineStr">
        <is>
          <t>D7</t>
        </is>
      </c>
      <c r="B5" s="5" t="inlineStr">
        <is>
          <t>1N4148W-7-F</t>
        </is>
      </c>
      <c r="C5" s="6" t="inlineStr">
        <is>
          <t>1N4148W は各社互換。Diodes 版が DK/Mouser とも潤沢</t>
        </is>
      </c>
    </row>
    <row r="6" ht="90" customHeight="1">
      <c r="A6" s="5" t="inlineStr">
        <is>
          <t>R18</t>
        </is>
      </c>
      <c r="B6" s="5" t="inlineStr">
        <is>
          <t>RC0402FR-071K5L</t>
        </is>
      </c>
      <c r="C6" s="6" t="inlineStr">
        <is>
          <t>音声ミキシング用。4本は誤差が揃っている方が左右バランスが良い</t>
        </is>
      </c>
    </row>
    <row r="7" ht="90" customHeight="1">
      <c r="A7" s="5" t="inlineStr">
        <is>
          <t>R4</t>
        </is>
      </c>
      <c r="B7" s="5" t="inlineStr">
        <is>
          <t>RC0402FR-0775RL</t>
        </is>
      </c>
      <c r="C7" s="6" t="inlineStr">
        <is>
          <t>★映像の終端抵抗。1% 品を使うこと(75Ω 整合がずれると映像レベルが狂う)</t>
        </is>
      </c>
    </row>
    <row r="8" ht="90" customHeight="1">
      <c r="A8" s="5" t="inlineStr">
        <is>
          <t>U5</t>
        </is>
      </c>
      <c r="B8" s="5" t="inlineStr">
        <is>
          <t>TLV75718PDBVR</t>
        </is>
      </c>
      <c r="C8" s="6" t="inlineStr">
        <is>
          <t>RICHTEK は DK/Mouser 扱い無し。TLV757P は SOT-23-5 で 1=IN/2=GND/3=EN/4=NC/5=OUT、RT9013 とピン配置一致。1.8V は TVP7002 AVDD 推奨 1.8〜2.0V 内</t>
        </is>
      </c>
    </row>
    <row r="9" ht="90" customHeight="1">
      <c r="A9" s="5" t="inlineStr">
        <is>
          <t>U2</t>
        </is>
      </c>
      <c r="B9" s="5" t="inlineStr">
        <is>
          <t>SN74LVC2G17DBVR</t>
        </is>
      </c>
      <c r="C9" s="6" t="inlineStr">
        <is>
          <t>★DigiKey 在庫切れ(2026-08-19 利用者確認)のため LCSC 発注へ移した。LCSC は TI 純正が在庫22,242個 $0.2403@30。DigiKey には UMW の同型番互換品($0.19)がある。5V トレラント入力の シュミットバッファで同期信号の整形に5個使うので、代替を使うなら VIH/VIL のヒステリシス幅を確認すること</t>
        </is>
      </c>
    </row>
    <row r="10" ht="90" customHeight="1">
      <c r="A10" s="5" t="inlineStr">
        <is>
          <t>C1</t>
        </is>
      </c>
      <c r="B10" s="5" t="inlineStr">
        <is>
          <t>CL21A106KAYNNNE</t>
        </is>
      </c>
      <c r="C10" s="6" t="inlineStr">
        <is>
          <t>★DigiKey 在庫切れ(2026-08-19 利用者確認)のため LCSC 発注へ移した。元の選定品(Samsung CL21A106KAYNNNE)がそのまま在庫2,758,420個 $0.0795@50。DigiKey で買うなら Murata GRM21BR61E106KA73L か YAGEO CC0805KKX5R8BB106 (いずれも 10uF/25V/X5R/0805/±10% で等価、在庫あり)</t>
        </is>
      </c>
    </row>
    <row r="11" ht="90" customHeight="1">
      <c r="A11" s="5" t="inlineStr">
        <is>
          <t>C82</t>
        </is>
      </c>
      <c r="B11" s="5" t="inlineStr">
        <is>
          <t>CC1812KKX7RDBB472</t>
        </is>
      </c>
      <c r="C11" s="6" t="inlineStr">
        <is>
          <t>★2kV 耐圧は必須。LANケーブルはサージや建物間の電位差を拾うため Bob-Smith 終端の ブリッジには 2kV が標準で、耐圧は落とせない。LCSC なら同じ Yageo 品が $0.24@25。DigiKey で買うなら KYOCERA AVX 1812GC472KAT1A($0.49@25、4700pF/2000V/X7R/±10%/1812 で完全同スペック、在庫42,893)が Yageo(154円)より安い</t>
        </is>
      </c>
    </row>
    <row r="12" ht="90" customHeight="1">
      <c r="A12" s="5" t="inlineStr">
        <is>
          <t>X1</t>
        </is>
      </c>
      <c r="B12" s="5" t="inlineStr">
        <is>
          <t>OT322527MJBA4SL</t>
        </is>
      </c>
      <c r="C12" s="6" t="inlineStr">
        <is>
          <t>★DigiKey は高い(Abracon ASEM1-27.000MHZ-LC-T が471円)。LCSC なら元の選定品が $0.43。DigiKey 内の安価品 ECS-3225MVLC-270-CN-TR($1.16)は**電源1.8〜3.3Vで使えない** (X1 は AZ1117H-3.3 ±2% = 最大3.37V から給電)。1.6〜3.6V の ECS-3225MV 系に 27MHz は無い</t>
        </is>
      </c>
    </row>
    <row r="13" ht="90" customHeight="1">
      <c r="A13" s="5" t="inlineStr">
        <is>
          <t>X3</t>
        </is>
      </c>
      <c r="B13" s="5" t="inlineStr">
        <is>
          <t>OT2JI-111-12.288M</t>
        </is>
      </c>
      <c r="C13" s="6" t="inlineStr">
        <is>
          <t>48kHz x 256fs。DigiKey は Epson SG3225CAN が445円、ECS-TXO-3225MV-122.8-TR でも $2.18。LCSC なら元の選定品が $0.30</t>
        </is>
      </c>
    </row>
    <row r="14" ht="90" customHeight="1">
      <c r="A14" s="5" t="inlineStr">
        <is>
          <t>J1</t>
        </is>
      </c>
      <c r="B14" s="5" t="inlineStr">
        <is>
          <t>DS1037-15FNAKT76-0CC</t>
        </is>
      </c>
      <c r="C14" s="6" t="inlineStr">
        <is>
          <t>★X68000 用 DA-15(メス/15ピン2列/ライトアングル/スルーホール)。DK/Mouser の DA-15 は取付穴・シェル寸法が異なりフットプリントに合わない。2026-08-18 時点 LCSC 自社在庫 112個 / $0.43 で問題なし</t>
        </is>
      </c>
    </row>
    <row r="15" ht="90" customHeight="1">
      <c r="A15" s="5" t="inlineStr">
        <is>
          <t>X2</t>
        </is>
      </c>
      <c r="B15" s="5" t="inlineStr">
        <is>
          <t>X32258MSB4SI</t>
        </is>
      </c>
      <c r="C15" s="6" t="inlineStr">
        <is>
          <t>CH347F 用。LCSC で $0.19。DigiKey の 3225 8MHz 在庫品は ABM8AIG-8.000MHZ-1Z-T($1.17)しか無く CL=18pF になるので、元の CL=20pF 品を LCSC で買う方が安くて正確</t>
        </is>
      </c>
    </row>
    <row r="16" ht="90" customHeight="1">
      <c r="A16" s="5" t="inlineStr">
        <is>
          <t>D9</t>
        </is>
      </c>
      <c r="B16" s="5" t="inlineStr">
        <is>
          <t>USBLC6-2SC6</t>
        </is>
      </c>
      <c r="C16" s="6" t="inlineStr">
        <is>
          <t>★DigiKey 在庫切れ(2026-08-19 利用者確認)のため LCSC 発注へ移した。LCSC は ST 純正が在庫33,840個 $0.1432@10。DigiKey には Slkormicro($0.18) / GOODWORK($0.04) / UMW($0.91) の互換品表示があるが、USB データラインの保護なので**接合容量が効く**(ST は Cj typ 0.8pF I/O-GND)。セカンドソースは容量規定を確認してから使うこと。ST 純正が買えるなら純正で。</t>
        </is>
      </c>
    </row>
    <row r="17" ht="90" customHeight="1">
      <c r="A17" s="5" t="inlineStr">
        <is>
          <t>LED1</t>
        </is>
      </c>
      <c r="B17" s="5" t="inlineStr">
        <is>
          <t>XL-2020RGBC-2812B</t>
        </is>
      </c>
      <c r="C17" s="6" t="inlineStr">
        <is>
          <t>★Worldsemi WS2812B-2020(C965555)から変更(2026-08-19)。理由は吸湿性ランク:
  WS2812B-2020 MSL 5a → JLCPCB が48時間の焼成(60℃)を要求し追加料金
  XL-2020RGBC  MSL 3  → 焼成不要
JLCPCB は MSL5以上で焼成を要求する。LCSC 在庫も 35,115個→175,745個 と5倍、単価差は $0.074→$0.093 の2セントのみ。WS2812B 互換の1本線プロトコルで 信号割り当ても DI=3/DO=1/GND=2/VDD=4 と同一。★ランドは違う(パッドが x 方向 ±0.92→±0.68 と内寄り)ので基板のフットプリントも差し替え済み。
2020 サイズは DK/Mouser では稀なので引き続き LCSC 調達</t>
        </is>
      </c>
    </row>
    <row r="18" ht="90" customHeight="1">
      <c r="A18" s="5" t="inlineStr">
        <is>
          <t>R1</t>
        </is>
      </c>
      <c r="B18" s="5" t="inlineStr">
        <is>
          <t>0402WGF5101TCE</t>
        </is>
      </c>
      <c r="C18" s="6" t="inlineStr">
        <is>
          <t>★DigiKey 在庫切れ(2026-08-19 利用者確認)のため LCSC 発注へ移した。元の選定品(UNI-ROYAL 0402WGF5101TCE)が在庫6,406,000個 $0.0043@100。★USB Type-C の CC1/CC2 プルダウンなので **5.1kΩ±1% は規格上の要求**(Rd = 5.1k で Default USB Power = 5V/500mA〜3A を宣言する)。値を変えてはいけない。DigiKey で買うなら YAGEO RC0402FR-075K1L の在庫が戻るのを待つか同等の1%品</t>
        </is>
      </c>
    </row>
    <row r="19" ht="90" customHeight="1">
      <c r="A19" s="5" t="inlineStr">
        <is>
          <t>J2</t>
        </is>
      </c>
      <c r="B19" s="5" t="inlineStr">
        <is>
          <t>TYPE-C-31-M-12</t>
        </is>
      </c>
      <c r="C19" s="6" t="inlineStr">
        <is>
          <t>いわゆる TYPE-C-31-M-12。DK/Mouser の USB-C は各社独自フットプリント</t>
        </is>
      </c>
    </row>
    <row r="20" ht="90" customHeight="1">
      <c r="A20" s="5" t="inlineStr">
        <is>
          <t>U7</t>
        </is>
      </c>
      <c r="B20" s="5" t="inlineStr">
        <is>
          <t>CH347F</t>
        </is>
      </c>
      <c r="C20" s="6" t="inlineStr">
        <is>
          <t>WCH は DK/Mouser 扱い無し。LCSC / AliExpress / 秋月 で入手</t>
        </is>
      </c>
    </row>
    <row r="21" ht="90" customHeight="1">
      <c r="A21" s="5" t="inlineStr">
        <is>
          <t>J11</t>
        </is>
      </c>
      <c r="B21" s="5" t="inlineStr">
        <is>
          <t>HR911130A</t>
        </is>
      </c>
      <c r="C21" s="6" t="inlineStr">
        <is>
          <t>HANRUN HR911130A。★2026-08-18 時点で調達先が分かれる:
  LCSC   **在庫切れ**(Notify Me のみ、$2.17@10 / $1.92@30)
  JLCPCB Assembly Parts Lib に **5,165個**(Extended、¥401.14@1+ / ¥307.76@31+、Full Reel 31個)
→ v1.0 の PCBA は JLCPCB 側で調達できるので問題なし。2個/枚なので16枚以上なら 31+ の価格帯に入る。
→ v0.9.0 の手半田分は AliExpress で調達する(定番品)。
フットプリントは HanRun HR911105A/HR911130A 系の事実上の業界標準配置(10ピン2列千鳥+LED4+シールド2)なので互換品が多い。公称互換品: LINK-PP LPJG0806FBNL(★使うならピン表の突き合わせが必要)。
★AliExpress で買う場合は内蔵トランス品質のばらつきに注意。10/100 は通っても 1000Base-T でリンクが不安定になる例がある。届いたら1個で先にリンク確認すること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2026-08-19T14:53:11Z</dcterms:created>
  <dcterms:modified xmlns:dcterms="http://purl.org/dc/terms/" xmlns:xsi="http://www.w3.org/2001/XMLSchema-instance" xsi:type="dcterms:W3CDTF">2026-08-19T14:53:11Z</dcterms:modified>
</cp:coreProperties>
</file>